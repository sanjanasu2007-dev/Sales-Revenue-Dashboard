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ec48969cfb9a0d1/Documents/"/>
    </mc:Choice>
  </mc:AlternateContent>
  <xr:revisionPtr revIDLastSave="322" documentId="8_{E5205153-D0F1-44D4-86DD-4DCAD8DF37A5}" xr6:coauthVersionLast="47" xr6:coauthVersionMax="47" xr10:uidLastSave="{E724068B-EBDA-416D-978A-063C22951A8D}"/>
  <bookViews>
    <workbookView xWindow="-96" yWindow="0" windowWidth="11712" windowHeight="12336" firstSheet="5" activeTab="5" xr2:uid="{DDD279B0-DDAE-4B98-8768-EB5ABB23E423}"/>
  </bookViews>
  <sheets>
    <sheet name="Sheet2" sheetId="2" r:id="rId1"/>
    <sheet name="Sheet3" sheetId="3" r:id="rId2"/>
    <sheet name="Sheet6" sheetId="8" r:id="rId3"/>
    <sheet name="Sheet7" sheetId="9" r:id="rId4"/>
    <sheet name="Sheet8" sheetId="10" r:id="rId5"/>
    <sheet name="Dashboard" sheetId="5" r:id="rId6"/>
    <sheet name="Sheet4" sheetId="6" r:id="rId7"/>
    <sheet name="Sheet9" sheetId="11" r:id="rId8"/>
    <sheet name="Sheet10" sheetId="12" r:id="rId9"/>
    <sheet name="Sheet11" sheetId="13" r:id="rId10"/>
    <sheet name="Sheet12" sheetId="14" r:id="rId11"/>
    <sheet name="Sheet1" sheetId="1" r:id="rId12"/>
  </sheets>
  <definedNames>
    <definedName name="Slicer_Category">#N/A</definedName>
    <definedName name="Slicer_Category1">#N/A</definedName>
    <definedName name="Slicer_Date">#N/A</definedName>
    <definedName name="Slicer_Date1">#N/A</definedName>
    <definedName name="Slicer_Product">#N/A</definedName>
    <definedName name="Slicer_Region">#N/A</definedName>
  </definedNames>
  <calcPr calcId="191029"/>
  <pivotCaches>
    <pivotCache cacheId="15" r:id="rId13"/>
    <pivotCache cacheId="5" r:id="rId14"/>
    <pivotCache cacheId="12"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5" l="1"/>
  <c r="H4" i="5"/>
  <c r="E4" i="5"/>
</calcChain>
</file>

<file path=xl/sharedStrings.xml><?xml version="1.0" encoding="utf-8"?>
<sst xmlns="http://schemas.openxmlformats.org/spreadsheetml/2006/main" count="79" uniqueCount="43">
  <si>
    <t>Order ID</t>
  </si>
  <si>
    <t>Date</t>
  </si>
  <si>
    <t>Product</t>
  </si>
  <si>
    <t>Category</t>
  </si>
  <si>
    <t>Region</t>
  </si>
  <si>
    <t>Quantity</t>
  </si>
  <si>
    <t>Price</t>
  </si>
  <si>
    <t>Revenue</t>
  </si>
  <si>
    <t>ORD001</t>
  </si>
  <si>
    <t>Laptop</t>
  </si>
  <si>
    <t>Electronics</t>
  </si>
  <si>
    <t>South</t>
  </si>
  <si>
    <t>ORD002</t>
  </si>
  <si>
    <t>Mobile</t>
  </si>
  <si>
    <t>North</t>
  </si>
  <si>
    <t>ORD003</t>
  </si>
  <si>
    <t>Mouse</t>
  </si>
  <si>
    <t>Accessories</t>
  </si>
  <si>
    <t>East</t>
  </si>
  <si>
    <t>ORD004</t>
  </si>
  <si>
    <t>Keyboard</t>
  </si>
  <si>
    <t>West</t>
  </si>
  <si>
    <t>ORD005</t>
  </si>
  <si>
    <t>Monitor</t>
  </si>
  <si>
    <t>ORD006</t>
  </si>
  <si>
    <t>Speaker</t>
  </si>
  <si>
    <t>ORD007</t>
  </si>
  <si>
    <t>Chair</t>
  </si>
  <si>
    <t>Furniture</t>
  </si>
  <si>
    <t>ORD008</t>
  </si>
  <si>
    <t>Table</t>
  </si>
  <si>
    <t>ORD009</t>
  </si>
  <si>
    <t>Smart Watch</t>
  </si>
  <si>
    <t>ORD010</t>
  </si>
  <si>
    <t>Printer</t>
  </si>
  <si>
    <t>Row Labels</t>
  </si>
  <si>
    <t>Grand Total</t>
  </si>
  <si>
    <t>Sum of Revenue</t>
  </si>
  <si>
    <t>Total Revenue</t>
  </si>
  <si>
    <t>Total Orders</t>
  </si>
  <si>
    <t>Total Quantity</t>
  </si>
  <si>
    <t>SALES &amp; REVENUE ANALYSIS DASHBOARD</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</si>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</sst>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4"/>
      <color theme="1"/>
      <name val="Aptos Narrow"/>
      <family val="2"/>
      <scheme val="minor"/>
    </font>
    <font>
      <sz val="20"/>
      <color theme="0"/>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0" tint="-4.9989318521683403E-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5">
    <xf numFmtId="0" fontId="0" fillId="0" borderId="0" xfId="0"/>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4" fillId="2" borderId="0" xfId="0" applyFont="1" applyFill="1"/>
    <xf numFmtId="0" fontId="1" fillId="2" borderId="0" xfId="0" applyFont="1" applyFill="1"/>
    <xf numFmtId="0" fontId="3" fillId="2" borderId="0" xfId="0" applyFont="1" applyFill="1"/>
    <xf numFmtId="0" fontId="5" fillId="3" borderId="0" xfId="0" applyFont="1" applyFill="1"/>
    <xf numFmtId="0" fontId="5" fillId="0" borderId="0" xfId="0" applyFont="1"/>
    <xf numFmtId="0" fontId="6"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indent="1"/>
    </xf>
    <xf numFmtId="0" fontId="0" fillId="0" borderId="0" xfId="0" applyNumberFormat="1"/>
  </cellXfs>
  <cellStyles count="1">
    <cellStyle name="Normal" xfId="0" builtinId="0"/>
  </cellStyles>
  <dxfs count="10">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multiLvlStrRef>
              <c:f>Sheet2!$A$2:$A$15</c:f>
              <c:multiLvlStrCache>
                <c:ptCount val="10"/>
                <c:lvl>
                  <c:pt idx="0">
                    <c:v>Keyboard</c:v>
                  </c:pt>
                  <c:pt idx="1">
                    <c:v>Mouse</c:v>
                  </c:pt>
                  <c:pt idx="2">
                    <c:v>Laptop</c:v>
                  </c:pt>
                  <c:pt idx="3">
                    <c:v>Mobile</c:v>
                  </c:pt>
                  <c:pt idx="4">
                    <c:v>Monitor</c:v>
                  </c:pt>
                  <c:pt idx="5">
                    <c:v>Printer</c:v>
                  </c:pt>
                  <c:pt idx="6">
                    <c:v>Smart Watch</c:v>
                  </c:pt>
                  <c:pt idx="7">
                    <c:v>Speaker</c:v>
                  </c:pt>
                  <c:pt idx="8">
                    <c:v>Chair</c:v>
                  </c:pt>
                  <c:pt idx="9">
                    <c:v>Table</c:v>
                  </c:pt>
                </c:lvl>
                <c:lvl>
                  <c:pt idx="0">
                    <c:v>Accessories</c:v>
                  </c:pt>
                  <c:pt idx="2">
                    <c:v>Electronics</c:v>
                  </c:pt>
                  <c:pt idx="8">
                    <c:v>Furniture</c:v>
                  </c:pt>
                </c:lvl>
              </c:multiLvlStrCache>
            </c:multiLvlStrRef>
          </c:cat>
          <c:val>
            <c:numRef>
              <c:f>Sheet2!$B$2:$B$15</c:f>
              <c:numCache>
                <c:formatCode>General</c:formatCode>
                <c:ptCount val="10"/>
                <c:pt idx="0">
                  <c:v>9000</c:v>
                </c:pt>
                <c:pt idx="1">
                  <c:v>8000</c:v>
                </c:pt>
                <c:pt idx="2">
                  <c:v>100000</c:v>
                </c:pt>
                <c:pt idx="3">
                  <c:v>60000</c:v>
                </c:pt>
                <c:pt idx="4">
                  <c:v>24000</c:v>
                </c:pt>
                <c:pt idx="5">
                  <c:v>15000</c:v>
                </c:pt>
                <c:pt idx="6">
                  <c:v>30000</c:v>
                </c:pt>
                <c:pt idx="7">
                  <c:v>12000</c:v>
                </c:pt>
                <c:pt idx="8">
                  <c:v>20000</c:v>
                </c:pt>
                <c:pt idx="9">
                  <c:v>16000</c:v>
                </c:pt>
              </c:numCache>
            </c:numRef>
          </c:val>
          <c:extLst>
            <c:ext xmlns:c16="http://schemas.microsoft.com/office/drawing/2014/chart" uri="{C3380CC4-5D6E-409C-BE32-E72D297353CC}">
              <c16:uniqueId val="{00000000-B93D-4C56-8024-C4877CD6211D}"/>
            </c:ext>
          </c:extLst>
        </c:ser>
        <c:dLbls>
          <c:showLegendKey val="0"/>
          <c:showVal val="0"/>
          <c:showCatName val="0"/>
          <c:showSerName val="0"/>
          <c:showPercent val="0"/>
          <c:showBubbleSize val="0"/>
        </c:dLbls>
        <c:gapWidth val="219"/>
        <c:overlap val="-27"/>
        <c:axId val="1028887152"/>
        <c:axId val="979865712"/>
      </c:barChart>
      <c:catAx>
        <c:axId val="10288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65712"/>
        <c:crosses val="autoZero"/>
        <c:auto val="1"/>
        <c:lblAlgn val="ctr"/>
        <c:lblOffset val="100"/>
        <c:noMultiLvlLbl val="0"/>
      </c:catAx>
      <c:valAx>
        <c:axId val="97986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
            </a:r>
            <a:r>
              <a:rPr lang="en-US" baseline="0"/>
              <a:t>evenue by Category</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9F1-4466-9630-5701D527B702}"/>
              </c:ext>
            </c:extLst>
          </c:dPt>
          <c:dPt>
            <c:idx val="1"/>
            <c:bubble3D val="0"/>
            <c:spPr>
              <a:solidFill>
                <a:schemeClr val="accent2"/>
              </a:solidFill>
              <a:ln>
                <a:noFill/>
              </a:ln>
              <a:effectLst/>
            </c:spPr>
            <c:extLst>
              <c:ext xmlns:c16="http://schemas.microsoft.com/office/drawing/2014/chart" uri="{C3380CC4-5D6E-409C-BE32-E72D297353CC}">
                <c16:uniqueId val="{00000003-C9F1-4466-9630-5701D527B702}"/>
              </c:ext>
            </c:extLst>
          </c:dPt>
          <c:dPt>
            <c:idx val="2"/>
            <c:bubble3D val="0"/>
            <c:spPr>
              <a:solidFill>
                <a:schemeClr val="accent3"/>
              </a:solidFill>
              <a:ln>
                <a:noFill/>
              </a:ln>
              <a:effectLst/>
            </c:spPr>
            <c:extLst>
              <c:ext xmlns:c16="http://schemas.microsoft.com/office/drawing/2014/chart" uri="{C3380CC4-5D6E-409C-BE32-E72D297353CC}">
                <c16:uniqueId val="{00000005-C9F1-4466-9630-5701D527B702}"/>
              </c:ext>
            </c:extLst>
          </c:dPt>
          <c:dPt>
            <c:idx val="3"/>
            <c:bubble3D val="0"/>
            <c:spPr>
              <a:solidFill>
                <a:schemeClr val="accent4"/>
              </a:solidFill>
              <a:ln>
                <a:noFill/>
              </a:ln>
              <a:effectLst/>
            </c:spPr>
            <c:extLst>
              <c:ext xmlns:c16="http://schemas.microsoft.com/office/drawing/2014/chart" uri="{C3380CC4-5D6E-409C-BE32-E72D297353CC}">
                <c16:uniqueId val="{00000007-C9F1-4466-9630-5701D527B702}"/>
              </c:ext>
            </c:extLst>
          </c:dPt>
          <c:dPt>
            <c:idx val="4"/>
            <c:bubble3D val="0"/>
            <c:spPr>
              <a:solidFill>
                <a:schemeClr val="accent5"/>
              </a:solidFill>
              <a:ln>
                <a:noFill/>
              </a:ln>
              <a:effectLst/>
            </c:spPr>
            <c:extLst>
              <c:ext xmlns:c16="http://schemas.microsoft.com/office/drawing/2014/chart" uri="{C3380CC4-5D6E-409C-BE32-E72D297353CC}">
                <c16:uniqueId val="{00000009-C9F1-4466-9630-5701D527B702}"/>
              </c:ext>
            </c:extLst>
          </c:dPt>
          <c:dPt>
            <c:idx val="5"/>
            <c:bubble3D val="0"/>
            <c:spPr>
              <a:solidFill>
                <a:schemeClr val="accent6"/>
              </a:solidFill>
              <a:ln>
                <a:noFill/>
              </a:ln>
              <a:effectLst/>
            </c:spPr>
            <c:extLst>
              <c:ext xmlns:c16="http://schemas.microsoft.com/office/drawing/2014/chart" uri="{C3380CC4-5D6E-409C-BE32-E72D297353CC}">
                <c16:uniqueId val="{0000000B-C9F1-4466-9630-5701D527B70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9F1-4466-9630-5701D527B70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9F1-4466-9630-5701D527B70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9F1-4466-9630-5701D527B70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9F1-4466-9630-5701D527B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Sheet2!$A$2:$A$15</c:f>
              <c:multiLvlStrCache>
                <c:ptCount val="10"/>
                <c:lvl>
                  <c:pt idx="0">
                    <c:v>Keyboard</c:v>
                  </c:pt>
                  <c:pt idx="1">
                    <c:v>Mouse</c:v>
                  </c:pt>
                  <c:pt idx="2">
                    <c:v>Laptop</c:v>
                  </c:pt>
                  <c:pt idx="3">
                    <c:v>Mobile</c:v>
                  </c:pt>
                  <c:pt idx="4">
                    <c:v>Monitor</c:v>
                  </c:pt>
                  <c:pt idx="5">
                    <c:v>Printer</c:v>
                  </c:pt>
                  <c:pt idx="6">
                    <c:v>Smart Watch</c:v>
                  </c:pt>
                  <c:pt idx="7">
                    <c:v>Speaker</c:v>
                  </c:pt>
                  <c:pt idx="8">
                    <c:v>Chair</c:v>
                  </c:pt>
                  <c:pt idx="9">
                    <c:v>Table</c:v>
                  </c:pt>
                </c:lvl>
                <c:lvl>
                  <c:pt idx="0">
                    <c:v>Accessories</c:v>
                  </c:pt>
                  <c:pt idx="2">
                    <c:v>Electronics</c:v>
                  </c:pt>
                  <c:pt idx="8">
                    <c:v>Furniture</c:v>
                  </c:pt>
                </c:lvl>
              </c:multiLvlStrCache>
            </c:multiLvlStrRef>
          </c:cat>
          <c:val>
            <c:numRef>
              <c:f>Sheet2!$B$2:$B$15</c:f>
              <c:numCache>
                <c:formatCode>General</c:formatCode>
                <c:ptCount val="10"/>
                <c:pt idx="0">
                  <c:v>9000</c:v>
                </c:pt>
                <c:pt idx="1">
                  <c:v>8000</c:v>
                </c:pt>
                <c:pt idx="2">
                  <c:v>100000</c:v>
                </c:pt>
                <c:pt idx="3">
                  <c:v>60000</c:v>
                </c:pt>
                <c:pt idx="4">
                  <c:v>24000</c:v>
                </c:pt>
                <c:pt idx="5">
                  <c:v>15000</c:v>
                </c:pt>
                <c:pt idx="6">
                  <c:v>30000</c:v>
                </c:pt>
                <c:pt idx="7">
                  <c:v>12000</c:v>
                </c:pt>
                <c:pt idx="8">
                  <c:v>20000</c:v>
                </c:pt>
                <c:pt idx="9">
                  <c:v>16000</c:v>
                </c:pt>
              </c:numCache>
            </c:numRef>
          </c:val>
          <c:extLst>
            <c:ext xmlns:c16="http://schemas.microsoft.com/office/drawing/2014/chart" uri="{C3380CC4-5D6E-409C-BE32-E72D297353CC}">
              <c16:uniqueId val="{00000014-8718-4768-A5F0-F652048F980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[Sales_Revenue_Dataset.xlsx]Sheet6!PivotTable1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66537679"/>
        <c:axId val="904369679"/>
      </c:barChart>
      <c:catAx>
        <c:axId val="12665376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69679"/>
        <c:crosses val="autoZero"/>
        <c:auto val="1"/>
        <c:lblAlgn val="ctr"/>
        <c:lblOffset val="100"/>
        <c:noMultiLvlLbl val="0"/>
      </c:catAx>
      <c:valAx>
        <c:axId val="9043696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3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[Sales_Revenue_Dataset.xlsx]Sheet7!PivotTable2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266567375"/>
        <c:axId val="767203599"/>
      </c:barChart>
      <c:catAx>
        <c:axId val="126656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03599"/>
        <c:crosses val="autoZero"/>
        <c:auto val="1"/>
        <c:lblAlgn val="ctr"/>
        <c:lblOffset val="100"/>
        <c:noMultiLvlLbl val="0"/>
      </c:catAx>
      <c:valAx>
        <c:axId val="76720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6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[Sales_Revenue_Dataset.xlsx]Sheet8!PivotTable3</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66589183"/>
        <c:axId val="767214159"/>
      </c:barChart>
      <c:catAx>
        <c:axId val="1266589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14159"/>
        <c:crosses val="autoZero"/>
        <c:auto val="1"/>
        <c:lblAlgn val="ctr"/>
        <c:lblOffset val="100"/>
        <c:noMultiLvlLbl val="0"/>
      </c:catAx>
      <c:valAx>
        <c:axId val="76721415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[Sales_Revenue_Dataset.xlsx]Sheet2!PivotTable2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multiLvlStrRef>
              <c:f>Sheet2!$A$2:$A$15</c:f>
              <c:multiLvlStrCache>
                <c:ptCount val="10"/>
                <c:lvl>
                  <c:pt idx="0">
                    <c:v>Keyboard</c:v>
                  </c:pt>
                  <c:pt idx="1">
                    <c:v>Mouse</c:v>
                  </c:pt>
                  <c:pt idx="2">
                    <c:v>Laptop</c:v>
                  </c:pt>
                  <c:pt idx="3">
                    <c:v>Mobile</c:v>
                  </c:pt>
                  <c:pt idx="4">
                    <c:v>Monitor</c:v>
                  </c:pt>
                  <c:pt idx="5">
                    <c:v>Printer</c:v>
                  </c:pt>
                  <c:pt idx="6">
                    <c:v>Smart Watch</c:v>
                  </c:pt>
                  <c:pt idx="7">
                    <c:v>Speaker</c:v>
                  </c:pt>
                  <c:pt idx="8">
                    <c:v>Chair</c:v>
                  </c:pt>
                  <c:pt idx="9">
                    <c:v>Table</c:v>
                  </c:pt>
                </c:lvl>
                <c:lvl>
                  <c:pt idx="0">
                    <c:v>Accessories</c:v>
                  </c:pt>
                  <c:pt idx="2">
                    <c:v>Electronics</c:v>
                  </c:pt>
                  <c:pt idx="8">
                    <c:v>Furniture</c:v>
                  </c:pt>
                </c:lvl>
              </c:multiLvlStrCache>
            </c:multiLvlStrRef>
          </c:cat>
          <c:val>
            <c:numRef>
              <c:f>Sheet2!$B$2:$B$15</c:f>
              <c:numCache>
                <c:formatCode>General</c:formatCode>
                <c:ptCount val="10"/>
                <c:pt idx="0">
                  <c:v>9000</c:v>
                </c:pt>
                <c:pt idx="1">
                  <c:v>8000</c:v>
                </c:pt>
                <c:pt idx="2">
                  <c:v>100000</c:v>
                </c:pt>
                <c:pt idx="3">
                  <c:v>60000</c:v>
                </c:pt>
                <c:pt idx="4">
                  <c:v>24000</c:v>
                </c:pt>
                <c:pt idx="5">
                  <c:v>15000</c:v>
                </c:pt>
                <c:pt idx="6">
                  <c:v>30000</c:v>
                </c:pt>
                <c:pt idx="7">
                  <c:v>12000</c:v>
                </c:pt>
                <c:pt idx="8">
                  <c:v>20000</c:v>
                </c:pt>
                <c:pt idx="9">
                  <c:v>16000</c:v>
                </c:pt>
              </c:numCache>
            </c:numRef>
          </c:val>
          <c:extLst>
            <c:ext xmlns:c16="http://schemas.microsoft.com/office/drawing/2014/chart" uri="{C3380CC4-5D6E-409C-BE32-E72D297353CC}">
              <c16:uniqueId val="{00000000-4E55-4D39-A293-E1496C245F6C}"/>
            </c:ext>
          </c:extLst>
        </c:ser>
        <c:dLbls>
          <c:showLegendKey val="0"/>
          <c:showVal val="0"/>
          <c:showCatName val="0"/>
          <c:showSerName val="0"/>
          <c:showPercent val="0"/>
          <c:showBubbleSize val="0"/>
        </c:dLbls>
        <c:gapWidth val="219"/>
        <c:overlap val="-27"/>
        <c:axId val="1028887152"/>
        <c:axId val="979865712"/>
      </c:barChart>
      <c:catAx>
        <c:axId val="102888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65712"/>
        <c:crosses val="autoZero"/>
        <c:auto val="1"/>
        <c:lblAlgn val="ctr"/>
        <c:lblOffset val="100"/>
        <c:noMultiLvlLbl val="0"/>
      </c:catAx>
      <c:valAx>
        <c:axId val="97986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8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
            </a:r>
            <a:r>
              <a:rPr lang="en-US" baseline="0"/>
              <a:t>evenue by Category</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E81-4C9C-8062-E5ED32705936}"/>
              </c:ext>
            </c:extLst>
          </c:dPt>
          <c:dPt>
            <c:idx val="1"/>
            <c:bubble3D val="0"/>
            <c:spPr>
              <a:solidFill>
                <a:schemeClr val="accent2"/>
              </a:solidFill>
              <a:ln>
                <a:noFill/>
              </a:ln>
              <a:effectLst/>
            </c:spPr>
            <c:extLst>
              <c:ext xmlns:c16="http://schemas.microsoft.com/office/drawing/2014/chart" uri="{C3380CC4-5D6E-409C-BE32-E72D297353CC}">
                <c16:uniqueId val="{00000003-6E81-4C9C-8062-E5ED32705936}"/>
              </c:ext>
            </c:extLst>
          </c:dPt>
          <c:dPt>
            <c:idx val="2"/>
            <c:bubble3D val="0"/>
            <c:spPr>
              <a:solidFill>
                <a:schemeClr val="accent3"/>
              </a:solidFill>
              <a:ln>
                <a:noFill/>
              </a:ln>
              <a:effectLst/>
            </c:spPr>
            <c:extLst>
              <c:ext xmlns:c16="http://schemas.microsoft.com/office/drawing/2014/chart" uri="{C3380CC4-5D6E-409C-BE32-E72D297353CC}">
                <c16:uniqueId val="{00000005-6E81-4C9C-8062-E5ED32705936}"/>
              </c:ext>
            </c:extLst>
          </c:dPt>
          <c:dPt>
            <c:idx val="3"/>
            <c:bubble3D val="0"/>
            <c:spPr>
              <a:solidFill>
                <a:schemeClr val="accent4"/>
              </a:solidFill>
              <a:ln>
                <a:noFill/>
              </a:ln>
              <a:effectLst/>
            </c:spPr>
            <c:extLst>
              <c:ext xmlns:c16="http://schemas.microsoft.com/office/drawing/2014/chart" uri="{C3380CC4-5D6E-409C-BE32-E72D297353CC}">
                <c16:uniqueId val="{00000007-6E81-4C9C-8062-E5ED32705936}"/>
              </c:ext>
            </c:extLst>
          </c:dPt>
          <c:dPt>
            <c:idx val="4"/>
            <c:bubble3D val="0"/>
            <c:spPr>
              <a:solidFill>
                <a:schemeClr val="accent5"/>
              </a:solidFill>
              <a:ln>
                <a:noFill/>
              </a:ln>
              <a:effectLst/>
            </c:spPr>
            <c:extLst>
              <c:ext xmlns:c16="http://schemas.microsoft.com/office/drawing/2014/chart" uri="{C3380CC4-5D6E-409C-BE32-E72D297353CC}">
                <c16:uniqueId val="{00000009-6E81-4C9C-8062-E5ED32705936}"/>
              </c:ext>
            </c:extLst>
          </c:dPt>
          <c:dPt>
            <c:idx val="5"/>
            <c:bubble3D val="0"/>
            <c:spPr>
              <a:solidFill>
                <a:schemeClr val="accent6"/>
              </a:solidFill>
              <a:ln>
                <a:noFill/>
              </a:ln>
              <a:effectLst/>
            </c:spPr>
            <c:extLst>
              <c:ext xmlns:c16="http://schemas.microsoft.com/office/drawing/2014/chart" uri="{C3380CC4-5D6E-409C-BE32-E72D297353CC}">
                <c16:uniqueId val="{0000000B-6E81-4C9C-8062-E5ED3270593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E81-4C9C-8062-E5ED3270593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E81-4C9C-8062-E5ED3270593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E81-4C9C-8062-E5ED3270593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E81-4C9C-8062-E5ED327059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Sheet2!$A$2:$A$15</c:f>
              <c:multiLvlStrCache>
                <c:ptCount val="10"/>
                <c:lvl>
                  <c:pt idx="0">
                    <c:v>Keyboard</c:v>
                  </c:pt>
                  <c:pt idx="1">
                    <c:v>Mouse</c:v>
                  </c:pt>
                  <c:pt idx="2">
                    <c:v>Laptop</c:v>
                  </c:pt>
                  <c:pt idx="3">
                    <c:v>Mobile</c:v>
                  </c:pt>
                  <c:pt idx="4">
                    <c:v>Monitor</c:v>
                  </c:pt>
                  <c:pt idx="5">
                    <c:v>Printer</c:v>
                  </c:pt>
                  <c:pt idx="6">
                    <c:v>Smart Watch</c:v>
                  </c:pt>
                  <c:pt idx="7">
                    <c:v>Speaker</c:v>
                  </c:pt>
                  <c:pt idx="8">
                    <c:v>Chair</c:v>
                  </c:pt>
                  <c:pt idx="9">
                    <c:v>Table</c:v>
                  </c:pt>
                </c:lvl>
                <c:lvl>
                  <c:pt idx="0">
                    <c:v>Accessories</c:v>
                  </c:pt>
                  <c:pt idx="2">
                    <c:v>Electronics</c:v>
                  </c:pt>
                  <c:pt idx="8">
                    <c:v>Furniture</c:v>
                  </c:pt>
                </c:lvl>
              </c:multiLvlStrCache>
            </c:multiLvlStrRef>
          </c:cat>
          <c:val>
            <c:numRef>
              <c:f>Sheet2!$B$2:$B$15</c:f>
              <c:numCache>
                <c:formatCode>General</c:formatCode>
                <c:ptCount val="10"/>
                <c:pt idx="0">
                  <c:v>9000</c:v>
                </c:pt>
                <c:pt idx="1">
                  <c:v>8000</c:v>
                </c:pt>
                <c:pt idx="2">
                  <c:v>100000</c:v>
                </c:pt>
                <c:pt idx="3">
                  <c:v>60000</c:v>
                </c:pt>
                <c:pt idx="4">
                  <c:v>24000</c:v>
                </c:pt>
                <c:pt idx="5">
                  <c:v>15000</c:v>
                </c:pt>
                <c:pt idx="6">
                  <c:v>30000</c:v>
                </c:pt>
                <c:pt idx="7">
                  <c:v>12000</c:v>
                </c:pt>
                <c:pt idx="8">
                  <c:v>20000</c:v>
                </c:pt>
                <c:pt idx="9">
                  <c:v>16000</c:v>
                </c:pt>
              </c:numCache>
            </c:numRef>
          </c:val>
          <c:extLst>
            <c:ext xmlns:c16="http://schemas.microsoft.com/office/drawing/2014/chart" uri="{C3380CC4-5D6E-409C-BE32-E72D297353CC}">
              <c16:uniqueId val="{00000014-207D-4E7B-8424-2662C6646C2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[Sales_Revenue_Dataset.xlsx]Sheet9!PivotTable5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Sheet9!$A$4:$A$5</c:f>
              <c:strCache>
                <c:ptCount val="1"/>
                <c:pt idx="0">
                  <c:v>Jan</c:v>
                </c:pt>
              </c:strCache>
            </c:strRef>
          </c:cat>
          <c:val>
            <c:numRef>
              <c:f>Sheet9!$B$4:$B$5</c:f>
              <c:numCache>
                <c:formatCode>General</c:formatCode>
                <c:ptCount val="1"/>
                <c:pt idx="0">
                  <c:v>294000</c:v>
                </c:pt>
              </c:numCache>
            </c:numRef>
          </c:val>
          <c:extLst>
            <c:ext xmlns:c16="http://schemas.microsoft.com/office/drawing/2014/chart" uri="{C3380CC4-5D6E-409C-BE32-E72D297353CC}">
              <c16:uniqueId val="{00000000-8328-4477-990D-17B06E1B409B}"/>
            </c:ext>
          </c:extLst>
        </c:ser>
        <c:dLbls>
          <c:showLegendKey val="0"/>
          <c:showVal val="0"/>
          <c:showCatName val="0"/>
          <c:showSerName val="0"/>
          <c:showPercent val="0"/>
          <c:showBubbleSize val="0"/>
        </c:dLbls>
        <c:gapWidth val="219"/>
        <c:overlap val="-27"/>
        <c:axId val="1351391103"/>
        <c:axId val="767265999"/>
      </c:barChart>
      <c:catAx>
        <c:axId val="13513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65999"/>
        <c:crosses val="autoZero"/>
        <c:auto val="1"/>
        <c:lblAlgn val="ctr"/>
        <c:lblOffset val="100"/>
        <c:noMultiLvlLbl val="0"/>
      </c:catAx>
      <c:valAx>
        <c:axId val="7672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9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[Sales_Revenue_Dataset.xlsx]Sheet4!PivotTable1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Sheet4!$A$2:$A$6</c:f>
              <c:strCache>
                <c:ptCount val="4"/>
                <c:pt idx="0">
                  <c:v>East</c:v>
                </c:pt>
                <c:pt idx="1">
                  <c:v>North</c:v>
                </c:pt>
                <c:pt idx="2">
                  <c:v>South</c:v>
                </c:pt>
                <c:pt idx="3">
                  <c:v>West</c:v>
                </c:pt>
              </c:strCache>
            </c:strRef>
          </c:cat>
          <c:val>
            <c:numRef>
              <c:f>Sheet4!$B$2:$B$6</c:f>
              <c:numCache>
                <c:formatCode>General</c:formatCode>
                <c:ptCount val="4"/>
                <c:pt idx="0">
                  <c:v>28000</c:v>
                </c:pt>
                <c:pt idx="1">
                  <c:v>87000</c:v>
                </c:pt>
                <c:pt idx="2">
                  <c:v>154000</c:v>
                </c:pt>
                <c:pt idx="3">
                  <c:v>25000</c:v>
                </c:pt>
              </c:numCache>
            </c:numRef>
          </c:val>
          <c:extLst>
            <c:ext xmlns:c16="http://schemas.microsoft.com/office/drawing/2014/chart" uri="{C3380CC4-5D6E-409C-BE32-E72D297353CC}">
              <c16:uniqueId val="{00000000-0CF6-4D15-A4BD-81359D92E1C0}"/>
            </c:ext>
          </c:extLst>
        </c:ser>
        <c:dLbls>
          <c:showLegendKey val="0"/>
          <c:showVal val="0"/>
          <c:showCatName val="0"/>
          <c:showSerName val="0"/>
          <c:showPercent val="0"/>
          <c:showBubbleSize val="0"/>
        </c:dLbls>
        <c:gapWidth val="219"/>
        <c:overlap val="-27"/>
        <c:axId val="1266561807"/>
        <c:axId val="904321199"/>
      </c:barChart>
      <c:catAx>
        <c:axId val="126656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21199"/>
        <c:crosses val="autoZero"/>
        <c:auto val="1"/>
        <c:lblAlgn val="ctr"/>
        <c:lblOffset val="100"/>
        <c:noMultiLvlLbl val="0"/>
      </c:catAx>
      <c:valAx>
        <c:axId val="90432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[Sales_Revenue_Dataset.xlsx]Sheet10!PivotTable7</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351435647"/>
        <c:axId val="767206959"/>
      </c:barChart>
      <c:catAx>
        <c:axId val="13514356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06959"/>
        <c:crosses val="autoZero"/>
        <c:auto val="1"/>
        <c:lblAlgn val="ctr"/>
        <c:lblOffset val="100"/>
        <c:noMultiLvlLbl val="0"/>
      </c:catAx>
      <c:valAx>
        <c:axId val="76720695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3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[Sales_Revenue_Dataset.xlsx]Sheet11!PivotTable8</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69616559"/>
        <c:axId val="904392719"/>
      </c:barChart>
      <c:catAx>
        <c:axId val="12696165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92719"/>
        <c:crosses val="autoZero"/>
        <c:auto val="1"/>
        <c:lblAlgn val="ctr"/>
        <c:lblOffset val="100"/>
        <c:noMultiLvlLbl val="0"/>
      </c:catAx>
      <c:valAx>
        <c:axId val="90439271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1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[Sales_Revenue_Dataset.xlsx]Sheet12!PivotTable9</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69607279"/>
        <c:axId val="904393679"/>
      </c:barChart>
      <c:catAx>
        <c:axId val="12696072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93679"/>
        <c:crosses val="autoZero"/>
        <c:auto val="1"/>
        <c:lblAlgn val="ctr"/>
        <c:lblOffset val="100"/>
        <c:noMultiLvlLbl val="0"/>
      </c:catAx>
      <c:valAx>
        <c:axId val="9043936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C7050C1E-6D7D-74A1-4667-3E12C14B3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10D3E05F-CCE4-4B23-8A43-F56E14FEA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392430</xdr:colOff>
      <xdr:row>6</xdr:row>
      <xdr:rowOff>34290</xdr:rowOff>
    </xdr:from>
    <xdr:to>
      <xdr:col>9</xdr:col>
      <xdr:colOff>87630</xdr:colOff>
      <xdr:row>21</xdr:row>
      <xdr:rowOff>34290</xdr:rowOff>
    </xdr:to>
    <xdr:graphicFrame macro="">
      <xdr:nvGraphicFramePr>
        <xdr:cNvPr id="2" name="Chart 1">
          <a:extLst>
            <a:ext uri="{FF2B5EF4-FFF2-40B4-BE49-F238E27FC236}">
              <a16:creationId xmlns:a16="http://schemas.microsoft.com/office/drawing/2014/main" id="{3718FFEC-2001-FBDF-4EC1-A16B54AA3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xdr:colOff>
      <xdr:row>6</xdr:row>
      <xdr:rowOff>34290</xdr:rowOff>
    </xdr:from>
    <xdr:to>
      <xdr:col>7</xdr:col>
      <xdr:colOff>304806</xdr:colOff>
      <xdr:row>21</xdr:row>
      <xdr:rowOff>34290</xdr:rowOff>
    </xdr:to>
    <xdr:graphicFrame macro="">
      <xdr:nvGraphicFramePr>
        <xdr:cNvPr id="2" name="Chart 1">
          <a:extLst>
            <a:ext uri="{FF2B5EF4-FFF2-40B4-BE49-F238E27FC236}">
              <a16:creationId xmlns:a16="http://schemas.microsoft.com/office/drawing/2014/main" id="{9D0B690D-516F-19CC-57C5-9A34D9C1F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5D4425C9-98CF-3C6A-9464-23C392BB5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311701</xdr:colOff>
      <xdr:row>5</xdr:row>
      <xdr:rowOff>15240</xdr:rowOff>
    </xdr:from>
    <xdr:to>
      <xdr:col>15</xdr:col>
      <xdr:colOff>250741</xdr:colOff>
      <xdr:row>20</xdr:row>
      <xdr:rowOff>15240</xdr:rowOff>
    </xdr:to>
    <xdr:graphicFrame macro="">
      <xdr:nvGraphicFramePr>
        <xdr:cNvPr id="2" name="Chart 1">
          <a:extLst>
            <a:ext uri="{FF2B5EF4-FFF2-40B4-BE49-F238E27FC236}">
              <a16:creationId xmlns:a16="http://schemas.microsoft.com/office/drawing/2014/main" id="{FD15B769-6C65-4196-A621-86E5EBCE5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554822</xdr:colOff>
      <xdr:row>4</xdr:row>
      <xdr:rowOff>127815</xdr:rowOff>
    </xdr:from>
    <xdr:to>
      <xdr:col>23</xdr:col>
      <xdr:colOff>256348</xdr:colOff>
      <xdr:row>19</xdr:row>
      <xdr:rowOff>173535</xdr:rowOff>
    </xdr:to>
    <xdr:graphicFrame macro="">
      <xdr:nvGraphicFramePr>
        <xdr:cNvPr id="3" name="Chart 2">
          <a:extLst>
            <a:ext uri="{FF2B5EF4-FFF2-40B4-BE49-F238E27FC236}">
              <a16:creationId xmlns:a16="http://schemas.microsoft.com/office/drawing/2014/main" id="{2128ADF9-4358-4F9D-BE10-E7BDA52F0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33</xdr:col>
      <xdr:colOff>28755</xdr:colOff>
      <xdr:row>4</xdr:row>
      <xdr:rowOff>173534</xdr:rowOff>
    </xdr:from>
    <xdr:to>
      <xdr:col>41</xdr:col>
      <xdr:colOff>28755</xdr:colOff>
      <xdr:row>19</xdr:row>
      <xdr:rowOff>158151</xdr:rowOff>
    </xdr:to>
    <mc:AlternateContent xmlns:mc="http://schemas.openxmlformats.org/markup-compatibility/2006">
      <mc:Choice xmlns:a14="http://schemas.microsoft.com/office/drawing/2010/main" Requires="a14">
        <xdr:graphicFrame macro="">
          <xdr:nvGraphicFramePr>
            <xdr:cNvPr id="4" name="Date">
              <a:extLst>
                <a:ext uri="{FF2B5EF4-FFF2-40B4-BE49-F238E27FC236}">
                  <a16:creationId xmlns:a16="http://schemas.microsoft.com/office/drawing/2014/main" id="{2ADFC079-A849-A8F3-7FBE-91249ABA9E7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0258289" y="1102548"/>
              <a:ext cx="4843398" cy="2802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459645</xdr:colOff>
      <xdr:row>5</xdr:row>
      <xdr:rowOff>6901</xdr:rowOff>
    </xdr:from>
    <xdr:to>
      <xdr:col>49</xdr:col>
      <xdr:colOff>71887</xdr:colOff>
      <xdr:row>19</xdr:row>
      <xdr:rowOff>100642</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5CDEFFBF-8DC1-EDD4-7E6D-E48DE361055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532577" y="1123805"/>
              <a:ext cx="4455639" cy="2724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603847</xdr:colOff>
      <xdr:row>5</xdr:row>
      <xdr:rowOff>3450</xdr:rowOff>
    </xdr:from>
    <xdr:to>
      <xdr:col>57</xdr:col>
      <xdr:colOff>575094</xdr:colOff>
      <xdr:row>19</xdr:row>
      <xdr:rowOff>172529</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8F95324-D2F6-0045-62A3-73676CA0CF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520176" y="1120354"/>
              <a:ext cx="4814644" cy="2799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603274</xdr:colOff>
      <xdr:row>4</xdr:row>
      <xdr:rowOff>174254</xdr:rowOff>
    </xdr:from>
    <xdr:to>
      <xdr:col>32</xdr:col>
      <xdr:colOff>308988</xdr:colOff>
      <xdr:row>19</xdr:row>
      <xdr:rowOff>169492</xdr:rowOff>
    </xdr:to>
    <xdr:graphicFrame macro="">
      <xdr:nvGraphicFramePr>
        <xdr:cNvPr id="8" name="Chart 7">
          <a:extLst>
            <a:ext uri="{FF2B5EF4-FFF2-40B4-BE49-F238E27FC236}">
              <a16:creationId xmlns:a16="http://schemas.microsoft.com/office/drawing/2014/main" id="{D38AC966-FE23-4A3B-9724-4545B8C1A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5</xdr:row>
      <xdr:rowOff>60960</xdr:rowOff>
    </xdr:from>
    <xdr:to>
      <xdr:col>7</xdr:col>
      <xdr:colOff>121920</xdr:colOff>
      <xdr:row>20</xdr:row>
      <xdr:rowOff>60960</xdr:rowOff>
    </xdr:to>
    <xdr:graphicFrame macro="">
      <xdr:nvGraphicFramePr>
        <xdr:cNvPr id="9" name="Chart 8">
          <a:extLst>
            <a:ext uri="{FF2B5EF4-FFF2-40B4-BE49-F238E27FC236}">
              <a16:creationId xmlns:a16="http://schemas.microsoft.com/office/drawing/2014/main" id="{F5404B64-0CB8-445F-A0A7-01E24A98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58</xdr:col>
      <xdr:colOff>240082</xdr:colOff>
      <xdr:row>5</xdr:row>
      <xdr:rowOff>31315</xdr:rowOff>
    </xdr:from>
    <xdr:to>
      <xdr:col>64</xdr:col>
      <xdr:colOff>594986</xdr:colOff>
      <xdr:row>19</xdr:row>
      <xdr:rowOff>156575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3EB7A96F-1FB7-4003-A2D8-DBF47AC4B4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605233" y="1148219"/>
              <a:ext cx="3987452" cy="2755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373386</xdr:colOff>
      <xdr:row>19</xdr:row>
      <xdr:rowOff>133350</xdr:rowOff>
    </xdr:from>
    <xdr:to>
      <xdr:col>8</xdr:col>
      <xdr:colOff>68586</xdr:colOff>
      <xdr:row>34</xdr:row>
      <xdr:rowOff>133350</xdr:rowOff>
    </xdr:to>
    <xdr:graphicFrame macro="">
      <xdr:nvGraphicFramePr>
        <xdr:cNvPr id="2" name="Chart 1">
          <a:extLst>
            <a:ext uri="{FF2B5EF4-FFF2-40B4-BE49-F238E27FC236}">
              <a16:creationId xmlns:a16="http://schemas.microsoft.com/office/drawing/2014/main" id="{CA83A9FD-8F33-9DA2-F872-67CA55ECA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5</xdr:row>
      <xdr:rowOff>152400</xdr:rowOff>
    </xdr:from>
    <xdr:to>
      <xdr:col>3</xdr:col>
      <xdr:colOff>381000</xdr:colOff>
      <xdr:row>19</xdr:row>
      <xdr:rowOff>173355</xdr:rowOff>
    </xdr:to>
    <mc:AlternateContent xmlns:mc="http://schemas.openxmlformats.org/markup-compatibility/2006">
      <mc:Choice xmlns:a14="http://schemas.microsoft.com/office/drawing/2010/main" Requires="a14">
        <xdr:graphicFrame macro="">
          <xdr:nvGraphicFramePr>
            <xdr:cNvPr id="3" name="Date 1">
              <a:extLst>
                <a:ext uri="{FF2B5EF4-FFF2-40B4-BE49-F238E27FC236}">
                  <a16:creationId xmlns:a16="http://schemas.microsoft.com/office/drawing/2014/main" id="{250DF064-A4E4-87A1-05E6-7F92770E7882}"/>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381000" y="1066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190500</xdr:colOff>
      <xdr:row>6</xdr:row>
      <xdr:rowOff>45720</xdr:rowOff>
    </xdr:from>
    <xdr:to>
      <xdr:col>7</xdr:col>
      <xdr:colOff>190500</xdr:colOff>
      <xdr:row>20</xdr:row>
      <xdr:rowOff>66675</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D59018E2-E8E0-6A63-12A2-AD30240938C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628900" y="1143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6</xdr:colOff>
      <xdr:row>6</xdr:row>
      <xdr:rowOff>34290</xdr:rowOff>
    </xdr:from>
    <xdr:to>
      <xdr:col>7</xdr:col>
      <xdr:colOff>304806</xdr:colOff>
      <xdr:row>21</xdr:row>
      <xdr:rowOff>34290</xdr:rowOff>
    </xdr:to>
    <xdr:graphicFrame macro="">
      <xdr:nvGraphicFramePr>
        <xdr:cNvPr id="2" name="Chart 1">
          <a:extLst>
            <a:ext uri="{FF2B5EF4-FFF2-40B4-BE49-F238E27FC236}">
              <a16:creationId xmlns:a16="http://schemas.microsoft.com/office/drawing/2014/main" id="{655611B8-988D-B591-670C-5895C1D7F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xdr:colOff>
      <xdr:row>6</xdr:row>
      <xdr:rowOff>34290</xdr:rowOff>
    </xdr:from>
    <xdr:to>
      <xdr:col>7</xdr:col>
      <xdr:colOff>304806</xdr:colOff>
      <xdr:row>21</xdr:row>
      <xdr:rowOff>34290</xdr:rowOff>
    </xdr:to>
    <xdr:graphicFrame macro="">
      <xdr:nvGraphicFramePr>
        <xdr:cNvPr id="2" name="Chart 1">
          <a:extLst>
            <a:ext uri="{FF2B5EF4-FFF2-40B4-BE49-F238E27FC236}">
              <a16:creationId xmlns:a16="http://schemas.microsoft.com/office/drawing/2014/main" id="{485AC25E-6C69-E0A3-BF66-63C238741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99.800517708332" createdVersion="8" refreshedVersion="8" minRefreshableVersion="3" recordCount="10" xr:uid="{46E9D7EA-A7F6-4B00-94FF-1BD853636535}">
  <cacheSource type="worksheet">
    <worksheetSource name="Table1"/>
  </cacheSource>
  <cacheFields count="9">
    <cacheField name="Order ID" numFmtId="0">
      <sharedItems count="10">
        <s v="ORD001"/>
        <s v="ORD002"/>
        <s v="ORD003"/>
        <s v="ORD004"/>
        <s v="ORD005"/>
        <s v="ORD006"/>
        <s v="ORD007"/>
        <s v="ORD008"/>
        <s v="ORD009"/>
        <s v="ORD010"/>
      </sharedItems>
    </cacheField>
    <cacheField name="Date" numFmtId="14">
      <sharedItems containsSemiMixedTypes="0" containsNonDate="0" containsDate="1" containsString="0" minDate="2026-01-01T00:00:00" maxDate="2026-01-23T00:00:00" count="10">
        <d v="2026-01-01T00:00:00"/>
        <d v="2026-01-03T00:00:00"/>
        <d v="2026-01-05T00:00:00"/>
        <d v="2026-01-08T00:00:00"/>
        <d v="2026-01-10T00:00:00"/>
        <d v="2026-01-12T00:00:00"/>
        <d v="2026-01-15T00:00:00"/>
        <d v="2026-01-18T00:00:00"/>
        <d v="2026-01-20T00:00:00"/>
        <d v="2026-01-22T00:00:00"/>
      </sharedItems>
      <fieldGroup par="8"/>
    </cacheField>
    <cacheField name="Product" numFmtId="0">
      <sharedItems count="10">
        <s v="Laptop"/>
        <s v="Mobile"/>
        <s v="Mouse"/>
        <s v="Keyboard"/>
        <s v="Monitor"/>
        <s v="Speaker"/>
        <s v="Chair"/>
        <s v="Table"/>
        <s v="Smart Watch"/>
        <s v="Printer"/>
      </sharedItems>
    </cacheField>
    <cacheField name="Category" numFmtId="0">
      <sharedItems count="3">
        <s v="Electronics"/>
        <s v="Accessories"/>
        <s v="Furniture"/>
      </sharedItems>
    </cacheField>
    <cacheField name="Region" numFmtId="0">
      <sharedItems count="4">
        <s v="South"/>
        <s v="North"/>
        <s v="East"/>
        <s v="West"/>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800" maxValue="50000"/>
    </cacheField>
    <cacheField name="Revenue" numFmtId="0">
      <sharedItems containsSemiMixedTypes="0" containsString="0" containsNumber="1" containsInteger="1" minValue="8000" maxValue="100000"/>
    </cacheField>
    <cacheField name="Months (Date)" numFmtId="0" databaseField="0">
      <fieldGroup base="1">
        <rangePr groupBy="months" startDate="2026-01-01T00:00:00" endDate="2026-01-23T00:00:00"/>
        <groupItems count="14">
          <s v="&lt;01-01-2026"/>
          <s v="Jan"/>
          <s v="Feb"/>
          <s v="Mar"/>
          <s v="Apr"/>
          <s v="May"/>
          <s v="Jun"/>
          <s v="Jul"/>
          <s v="Aug"/>
          <s v="Sep"/>
          <s v="Oct"/>
          <s v="Nov"/>
          <s v="Dec"/>
          <s v="&gt;23-01-2026"/>
        </groupItems>
      </fieldGroup>
    </cacheField>
  </cacheFields>
  <extLst>
    <ext xmlns:x14="http://schemas.microsoft.com/office/spreadsheetml/2009/9/main" uri="{725AE2AE-9491-48be-B2B4-4EB974FC3084}">
      <x14:pivotCacheDefinition pivotCacheId="3031668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3.965575000002" createdVersion="8" refreshedVersion="8" minRefreshableVersion="3" recordCount="3" xr:uid="{C163C5F3-1E08-42C4-958D-7EFAC06FA685}">
  <cacheSource type="worksheet">
    <worksheetSource ref="A1:A4" sheet="Dashboard"/>
  </cacheSource>
  <cacheFields count="1">
    <cacheField name="SALES &amp; REVENUE ANALYSIS DASHBOARD" numFmtId="0">
      <sharedItems containsString="0" containsBlank="1" containsNumber="1" containsInteger="1" minValue="294000" maxValue="294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3.990288541667" createdVersion="8" refreshedVersion="8" minRefreshableVersion="3" recordCount="1" xr:uid="{6C115B6A-45EB-4C90-B185-D2292F1A9F3F}">
  <cacheSource type="worksheet">
    <worksheetSource ref="B3:B4" sheet="Dashboard"/>
  </cacheSource>
  <cacheFields count="1">
    <cacheField name="Total Revenue"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n v="2"/>
    <n v="50000"/>
    <n v="100000"/>
  </r>
  <r>
    <x v="1"/>
    <x v="1"/>
    <x v="1"/>
    <x v="0"/>
    <x v="1"/>
    <n v="3"/>
    <n v="20000"/>
    <n v="60000"/>
  </r>
  <r>
    <x v="2"/>
    <x v="2"/>
    <x v="2"/>
    <x v="1"/>
    <x v="2"/>
    <n v="10"/>
    <n v="800"/>
    <n v="8000"/>
  </r>
  <r>
    <x v="3"/>
    <x v="3"/>
    <x v="3"/>
    <x v="1"/>
    <x v="3"/>
    <n v="6"/>
    <n v="1500"/>
    <n v="9000"/>
  </r>
  <r>
    <x v="4"/>
    <x v="4"/>
    <x v="4"/>
    <x v="0"/>
    <x v="0"/>
    <n v="2"/>
    <n v="12000"/>
    <n v="24000"/>
  </r>
  <r>
    <x v="5"/>
    <x v="5"/>
    <x v="5"/>
    <x v="0"/>
    <x v="1"/>
    <n v="4"/>
    <n v="3000"/>
    <n v="12000"/>
  </r>
  <r>
    <x v="6"/>
    <x v="6"/>
    <x v="6"/>
    <x v="2"/>
    <x v="2"/>
    <n v="5"/>
    <n v="4000"/>
    <n v="20000"/>
  </r>
  <r>
    <x v="7"/>
    <x v="7"/>
    <x v="7"/>
    <x v="2"/>
    <x v="3"/>
    <n v="2"/>
    <n v="8000"/>
    <n v="16000"/>
  </r>
  <r>
    <x v="8"/>
    <x v="8"/>
    <x v="8"/>
    <x v="0"/>
    <x v="0"/>
    <n v="3"/>
    <n v="10000"/>
    <n v="30000"/>
  </r>
  <r>
    <x v="9"/>
    <x v="9"/>
    <x v="9"/>
    <x v="0"/>
    <x v="1"/>
    <n v="1"/>
    <n v="15000"/>
    <n v="1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m/>
  </r>
  <r>
    <m/>
  </r>
  <r>
    <n v="294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8814C-8E6F-4B0B-874F-F717F5C36AD2}"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15" firstHeaderRow="1" firstDataRow="1" firstDataCol="1"/>
  <pivotFields count="9">
    <pivotField showAll="0">
      <items count="11">
        <item x="0"/>
        <item x="1"/>
        <item x="2"/>
        <item x="3"/>
        <item x="4"/>
        <item x="5"/>
        <item x="6"/>
        <item x="7"/>
        <item x="8"/>
        <item x="9"/>
        <item t="default"/>
      </items>
    </pivotField>
    <pivotField numFmtId="14" showAll="0">
      <items count="11">
        <item x="0"/>
        <item x="1"/>
        <item x="2"/>
        <item x="3"/>
        <item x="4"/>
        <item x="5"/>
        <item x="6"/>
        <item x="7"/>
        <item x="8"/>
        <item x="9"/>
        <item t="default"/>
      </items>
    </pivotField>
    <pivotField axis="axisRow" showAll="0">
      <items count="11">
        <item x="6"/>
        <item x="3"/>
        <item x="0"/>
        <item x="1"/>
        <item x="4"/>
        <item x="2"/>
        <item x="9"/>
        <item x="8"/>
        <item x="5"/>
        <item x="7"/>
        <item t="default"/>
      </items>
    </pivotField>
    <pivotField axis="axisRow" showAll="0">
      <items count="4">
        <item x="1"/>
        <item x="0"/>
        <item x="2"/>
        <item t="default"/>
      </items>
    </pivotField>
    <pivotField showAll="0">
      <items count="5">
        <item x="2"/>
        <item x="1"/>
        <item x="0"/>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2">
    <field x="3"/>
    <field x="2"/>
  </rowFields>
  <rowItems count="14">
    <i>
      <x/>
    </i>
    <i r="1">
      <x v="1"/>
    </i>
    <i r="1">
      <x v="5"/>
    </i>
    <i>
      <x v="1"/>
    </i>
    <i r="1">
      <x v="2"/>
    </i>
    <i r="1">
      <x v="3"/>
    </i>
    <i r="1">
      <x v="4"/>
    </i>
    <i r="1">
      <x v="6"/>
    </i>
    <i r="1">
      <x v="7"/>
    </i>
    <i r="1">
      <x v="8"/>
    </i>
    <i>
      <x v="2"/>
    </i>
    <i r="1">
      <x/>
    </i>
    <i r="1">
      <x v="9"/>
    </i>
    <i t="grand">
      <x/>
    </i>
  </rowItems>
  <colItems count="1">
    <i/>
  </colItems>
  <dataFields count="1">
    <dataField name="Sum of Revenue" fld="7" baseField="0" baseItem="0"/>
  </dataFields>
  <chartFormats count="24">
    <chartFormat chart="13" format="28"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3" format="29">
      <pivotArea type="data" outline="0" fieldPosition="0">
        <references count="3">
          <reference field="4294967294" count="1" selected="0">
            <x v="0"/>
          </reference>
          <reference field="2" count="1" selected="0">
            <x v="1"/>
          </reference>
          <reference field="3" count="1" selected="0">
            <x v="0"/>
          </reference>
        </references>
      </pivotArea>
    </chartFormat>
    <chartFormat chart="13" format="30">
      <pivotArea type="data" outline="0" fieldPosition="0">
        <references count="3">
          <reference field="4294967294" count="1" selected="0">
            <x v="0"/>
          </reference>
          <reference field="2" count="1" selected="0">
            <x v="5"/>
          </reference>
          <reference field="3" count="1" selected="0">
            <x v="0"/>
          </reference>
        </references>
      </pivotArea>
    </chartFormat>
    <chartFormat chart="13" format="31">
      <pivotArea type="data" outline="0" fieldPosition="0">
        <references count="3">
          <reference field="4294967294" count="1" selected="0">
            <x v="0"/>
          </reference>
          <reference field="2" count="1" selected="0">
            <x v="2"/>
          </reference>
          <reference field="3" count="1" selected="0">
            <x v="1"/>
          </reference>
        </references>
      </pivotArea>
    </chartFormat>
    <chartFormat chart="13" format="32">
      <pivotArea type="data" outline="0" fieldPosition="0">
        <references count="3">
          <reference field="4294967294" count="1" selected="0">
            <x v="0"/>
          </reference>
          <reference field="2" count="1" selected="0">
            <x v="3"/>
          </reference>
          <reference field="3" count="1" selected="0">
            <x v="1"/>
          </reference>
        </references>
      </pivotArea>
    </chartFormat>
    <chartFormat chart="13" format="33">
      <pivotArea type="data" outline="0" fieldPosition="0">
        <references count="3">
          <reference field="4294967294" count="1" selected="0">
            <x v="0"/>
          </reference>
          <reference field="2" count="1" selected="0">
            <x v="4"/>
          </reference>
          <reference field="3" count="1" selected="0">
            <x v="1"/>
          </reference>
        </references>
      </pivotArea>
    </chartFormat>
    <chartFormat chart="13" format="34">
      <pivotArea type="data" outline="0" fieldPosition="0">
        <references count="3">
          <reference field="4294967294" count="1" selected="0">
            <x v="0"/>
          </reference>
          <reference field="2" count="1" selected="0">
            <x v="6"/>
          </reference>
          <reference field="3" count="1" selected="0">
            <x v="1"/>
          </reference>
        </references>
      </pivotArea>
    </chartFormat>
    <chartFormat chart="13" format="35">
      <pivotArea type="data" outline="0" fieldPosition="0">
        <references count="3">
          <reference field="4294967294" count="1" selected="0">
            <x v="0"/>
          </reference>
          <reference field="2" count="1" selected="0">
            <x v="7"/>
          </reference>
          <reference field="3" count="1" selected="0">
            <x v="1"/>
          </reference>
        </references>
      </pivotArea>
    </chartFormat>
    <chartFormat chart="13" format="36">
      <pivotArea type="data" outline="0" fieldPosition="0">
        <references count="3">
          <reference field="4294967294" count="1" selected="0">
            <x v="0"/>
          </reference>
          <reference field="2" count="1" selected="0">
            <x v="8"/>
          </reference>
          <reference field="3" count="1" selected="0">
            <x v="1"/>
          </reference>
        </references>
      </pivotArea>
    </chartFormat>
    <chartFormat chart="13" format="37">
      <pivotArea type="data" outline="0" fieldPosition="0">
        <references count="3">
          <reference field="4294967294" count="1" selected="0">
            <x v="0"/>
          </reference>
          <reference field="2" count="1" selected="0">
            <x v="0"/>
          </reference>
          <reference field="3" count="1" selected="0">
            <x v="2"/>
          </reference>
        </references>
      </pivotArea>
    </chartFormat>
    <chartFormat chart="13" format="38">
      <pivotArea type="data" outline="0" fieldPosition="0">
        <references count="3">
          <reference field="4294967294" count="1" selected="0">
            <x v="0"/>
          </reference>
          <reference field="2" count="1" selected="0">
            <x v="9"/>
          </reference>
          <reference field="3" count="1" selected="0">
            <x v="2"/>
          </reference>
        </references>
      </pivotArea>
    </chartFormat>
    <chartFormat chart="4" format="17">
      <pivotArea type="data" outline="0" fieldPosition="0">
        <references count="3">
          <reference field="4294967294" count="1" selected="0">
            <x v="0"/>
          </reference>
          <reference field="2" count="1" selected="0">
            <x v="1"/>
          </reference>
          <reference field="3" count="1" selected="0">
            <x v="0"/>
          </reference>
        </references>
      </pivotArea>
    </chartFormat>
    <chartFormat chart="4" format="18">
      <pivotArea type="data" outline="0" fieldPosition="0">
        <references count="3">
          <reference field="4294967294" count="1" selected="0">
            <x v="0"/>
          </reference>
          <reference field="2" count="1" selected="0">
            <x v="5"/>
          </reference>
          <reference field="3" count="1" selected="0">
            <x v="0"/>
          </reference>
        </references>
      </pivotArea>
    </chartFormat>
    <chartFormat chart="4" format="19">
      <pivotArea type="data" outline="0" fieldPosition="0">
        <references count="3">
          <reference field="4294967294" count="1" selected="0">
            <x v="0"/>
          </reference>
          <reference field="2" count="1" selected="0">
            <x v="2"/>
          </reference>
          <reference field="3" count="1" selected="0">
            <x v="1"/>
          </reference>
        </references>
      </pivotArea>
    </chartFormat>
    <chartFormat chart="4" format="20">
      <pivotArea type="data" outline="0" fieldPosition="0">
        <references count="3">
          <reference field="4294967294" count="1" selected="0">
            <x v="0"/>
          </reference>
          <reference field="2" count="1" selected="0">
            <x v="3"/>
          </reference>
          <reference field="3" count="1" selected="0">
            <x v="1"/>
          </reference>
        </references>
      </pivotArea>
    </chartFormat>
    <chartFormat chart="4" format="21">
      <pivotArea type="data" outline="0" fieldPosition="0">
        <references count="3">
          <reference field="4294967294" count="1" selected="0">
            <x v="0"/>
          </reference>
          <reference field="2" count="1" selected="0">
            <x v="4"/>
          </reference>
          <reference field="3" count="1" selected="0">
            <x v="1"/>
          </reference>
        </references>
      </pivotArea>
    </chartFormat>
    <chartFormat chart="4" format="22">
      <pivotArea type="data" outline="0" fieldPosition="0">
        <references count="3">
          <reference field="4294967294" count="1" selected="0">
            <x v="0"/>
          </reference>
          <reference field="2" count="1" selected="0">
            <x v="6"/>
          </reference>
          <reference field="3" count="1" selected="0">
            <x v="1"/>
          </reference>
        </references>
      </pivotArea>
    </chartFormat>
    <chartFormat chart="4" format="23">
      <pivotArea type="data" outline="0" fieldPosition="0">
        <references count="3">
          <reference field="4294967294" count="1" selected="0">
            <x v="0"/>
          </reference>
          <reference field="2" count="1" selected="0">
            <x v="7"/>
          </reference>
          <reference field="3" count="1" selected="0">
            <x v="1"/>
          </reference>
        </references>
      </pivotArea>
    </chartFormat>
    <chartFormat chart="4" format="24">
      <pivotArea type="data" outline="0" fieldPosition="0">
        <references count="3">
          <reference field="4294967294" count="1" selected="0">
            <x v="0"/>
          </reference>
          <reference field="2" count="1" selected="0">
            <x v="8"/>
          </reference>
          <reference field="3" count="1" selected="0">
            <x v="1"/>
          </reference>
        </references>
      </pivotArea>
    </chartFormat>
    <chartFormat chart="4" format="25">
      <pivotArea type="data" outline="0" fieldPosition="0">
        <references count="3">
          <reference field="4294967294" count="1" selected="0">
            <x v="0"/>
          </reference>
          <reference field="2" count="1" selected="0">
            <x v="0"/>
          </reference>
          <reference field="3" count="1" selected="0">
            <x v="2"/>
          </reference>
        </references>
      </pivotArea>
    </chartFormat>
    <chartFormat chart="4" format="26">
      <pivotArea type="data" outline="0" fieldPosition="0">
        <references count="3">
          <reference field="4294967294" count="1" selected="0">
            <x v="0"/>
          </reference>
          <reference field="2" count="1" selected="0">
            <x v="9"/>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DA451-87D1-41DF-B72B-7FF66E6A20C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F809F0-5ECB-4B82-986D-DFC792B77F2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CA7B4B-5143-41DE-9FA6-BBB3A842B68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A97DFC-A8A3-46CD-8C29-0BF08D6CA45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C22" firstHeaderRow="1" firstDataRow="1" firstDataCol="0"/>
  <pivotFields count="1">
    <pivotField showAll="0">
      <items count="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FB80C-5993-4E67-8CB4-2664C058E06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9">
    <pivotField showAll="0"/>
    <pivotField numFmtId="14" showAll="0">
      <items count="11">
        <item x="0"/>
        <item x="1"/>
        <item x="2"/>
        <item x="3"/>
        <item x="4"/>
        <item x="5"/>
        <item x="6"/>
        <item x="7"/>
        <item x="8"/>
        <item x="9"/>
        <item t="default"/>
      </items>
    </pivotField>
    <pivotField showAll="0">
      <items count="11">
        <item x="6"/>
        <item x="3"/>
        <item x="0"/>
        <item x="1"/>
        <item x="4"/>
        <item x="2"/>
        <item x="9"/>
        <item x="8"/>
        <item x="5"/>
        <item x="7"/>
        <item t="default"/>
      </items>
    </pivotField>
    <pivotField showAll="0"/>
    <pivotField axis="axisRow" showAll="0">
      <items count="5">
        <item x="2"/>
        <item x="1"/>
        <item x="0"/>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C54CFF-DB37-48C4-A80A-3A3349A91F7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9">
    <pivotField showAll="0"/>
    <pivotField numFmtId="14" showAll="0">
      <items count="11">
        <item x="0"/>
        <item x="1"/>
        <item x="2"/>
        <item x="3"/>
        <item x="4"/>
        <item x="5"/>
        <item x="6"/>
        <item x="7"/>
        <item x="8"/>
        <item x="9"/>
        <item t="default"/>
      </items>
    </pivotField>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2">
    <i>
      <x v="1"/>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2DB58F-1744-4A66-A207-F2297C5D80BE}"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9">
    <pivotField showAll="0"/>
    <pivotField numFmtId="14" showAll="0">
      <items count="11">
        <item x="0"/>
        <item x="1"/>
        <item x="2"/>
        <item x="3"/>
        <item x="4"/>
        <item x="5"/>
        <item x="6"/>
        <item x="7"/>
        <item x="8"/>
        <item x="9"/>
        <item t="default"/>
      </items>
    </pivotField>
    <pivotField showAll="0"/>
    <pivotField showAll="0">
      <items count="4">
        <item x="1"/>
        <item x="0"/>
        <item x="2"/>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CEEAE1-C17D-425B-9860-4AD7F7F0F08E}"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9">
    <pivotField showAll="0"/>
    <pivotField numFmtId="14" showAll="0">
      <items count="11">
        <item x="0"/>
        <item x="1"/>
        <item x="2"/>
        <item x="3"/>
        <item x="4"/>
        <item x="5"/>
        <item x="6"/>
        <item x="7"/>
        <item x="8"/>
        <item x="9"/>
        <item t="default"/>
      </items>
    </pivotField>
    <pivotField showAll="0"/>
    <pivotField showAll="0"/>
    <pivotField showAll="0">
      <items count="5">
        <item x="2"/>
        <item h="1" x="1"/>
        <item x="0"/>
        <item x="3"/>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CC99CA-E89F-4491-9006-B22E983DD9FA}"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9">
    <pivotField showAll="0"/>
    <pivotField numFmtId="14" showAll="0">
      <items count="11">
        <item x="0"/>
        <item x="1"/>
        <item x="2"/>
        <item x="3"/>
        <item x="4"/>
        <item x="5"/>
        <item x="6"/>
        <item x="7"/>
        <item x="8"/>
        <item x="9"/>
        <item t="default"/>
      </items>
    </pivotField>
    <pivotField showAll="0">
      <items count="11">
        <item x="6"/>
        <item x="3"/>
        <item x="0"/>
        <item x="1"/>
        <item x="4"/>
        <item x="2"/>
        <item x="9"/>
        <item x="8"/>
        <item x="5"/>
        <item x="7"/>
        <item t="default"/>
      </items>
    </pivotField>
    <pivotField showAll="0">
      <items count="4">
        <item x="1"/>
        <item x="0"/>
        <item x="2"/>
        <item t="default"/>
      </items>
    </pivotField>
    <pivotField showAll="0">
      <items count="5">
        <item x="2"/>
        <item h="1" x="1"/>
        <item x="0"/>
        <item x="3"/>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BDD50E4-FA99-4C5D-AB61-01D461385D56}" sourceName="Date">
  <pivotTables>
    <pivotTable tabId="2" name="PivotTable2"/>
    <pivotTable tabId="14" name="PivotTable9"/>
  </pivotTables>
  <data>
    <tabular pivotCacheId="303166864">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458E96E-FC36-4A00-AB28-D2EEE855113F}" sourceName="Product">
  <pivotTables>
    <pivotTable tabId="2" name="PivotTable2"/>
    <pivotTable tabId="6" name="PivotTable1"/>
    <pivotTable tabId="14" name="PivotTable9"/>
  </pivotTables>
  <data>
    <tabular pivotCacheId="303166864">
      <items count="10">
        <i x="6" s="1"/>
        <i x="3" s="1"/>
        <i x="0" s="1"/>
        <i x="1" s="1"/>
        <i x="4" s="1"/>
        <i x="2" s="1"/>
        <i x="9" s="1"/>
        <i x="8"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1764DF7-D906-47BB-91D0-8260ACF56054}" sourceName="Category">
  <pivotTables>
    <pivotTable tabId="2" name="PivotTable2"/>
    <pivotTable tabId="14" name="PivotTable9"/>
  </pivotTables>
  <data>
    <tabular pivotCacheId="30316686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32AE2566-498F-4FB8-9FBB-7458C2A61B88}" sourceName="Date">
  <pivotTables>
    <pivotTable tabId="12" name="PivotTable7"/>
  </pivotTables>
  <data>
    <tabular pivotCacheId="303166864">
      <items count="10">
        <i x="0" s="1"/>
        <i x="1" s="1"/>
        <i x="2" s="1"/>
        <i x="3" s="1"/>
        <i x="4" s="1"/>
        <i x="5" s="1"/>
        <i x="6" s="1"/>
        <i x="7" s="1"/>
        <i x="8"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CF0C624-9D59-4098-827D-2955D375FE78}" sourceName="Category">
  <pivotTables>
    <pivotTable tabId="12" name="PivotTable7"/>
  </pivotTables>
  <data>
    <tabular pivotCacheId="303166864">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F067F0-EB9D-48A7-9FF5-410AA7C23B24}" sourceName="Region">
  <pivotTables>
    <pivotTable tabId="13" name="PivotTable8"/>
    <pivotTable tabId="14" name="PivotTable9"/>
  </pivotTables>
  <data>
    <tabular pivotCacheId="303166864">
      <items count="4">
        <i x="2" s="1"/>
        <i x="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25EBFB9-484E-4497-88F6-6125FC5A28F9}" cache="Slicer_Date" caption="Date" rowHeight="247650"/>
  <slicer name="Product" xr10:uid="{1AAFC3BA-2117-4363-87B8-A76C8C31F330}" cache="Slicer_Product" caption="Product" rowHeight="247650"/>
  <slicer name="Category" xr10:uid="{79B7A71F-F0B8-4F79-9967-5F9B5151974B}" cache="Slicer_Category" caption="Category" rowHeight="247650"/>
  <slicer name="Region" xr10:uid="{A7F1B695-C64F-474C-9D03-D407444A9760}"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12244F19-18A3-468C-A27F-8400291970F6}" cache="Slicer_Date1" caption="Date" rowHeight="247650"/>
  <slicer name="Category 1" xr10:uid="{2060EF76-7BC1-4528-81DA-74CF7D7D955A}" cache="Slicer_Category1"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95E35-CD46-4A4F-A225-5A83A87F8E42}" name="Table1" displayName="Table1" ref="A1:H11" totalsRowShown="0" headerRowDxfId="9" dataDxfId="8">
  <autoFilter ref="A1:H11" xr:uid="{03F95E35-CD46-4A4F-A225-5A83A87F8E42}"/>
  <tableColumns count="8">
    <tableColumn id="1" xr3:uid="{D9AE6927-D11A-46D5-ABB8-F59C39091E37}" name="Order ID" dataDxfId="7"/>
    <tableColumn id="2" xr3:uid="{71BC7520-D6DB-441D-A7A3-6A59299BBBDB}" name="Date" dataDxfId="6"/>
    <tableColumn id="3" xr3:uid="{5E00BB2F-78CE-4376-A1B9-9DEB976103FF}" name="Product" dataDxfId="5"/>
    <tableColumn id="4" xr3:uid="{39F7DE4C-903D-406F-A788-3D1502758978}" name="Category" dataDxfId="4"/>
    <tableColumn id="5" xr3:uid="{831D5004-7235-4700-8734-D912D5031461}" name="Region" dataDxfId="3"/>
    <tableColumn id="6" xr3:uid="{DC914604-04FB-4BFB-850E-4213FC36BC91}" name="Quantity" dataDxfId="2"/>
    <tableColumn id="7" xr3:uid="{8D2AB796-AA6A-4F95-8F54-DAEB43201C3B}" name="Price" dataDxfId="1"/>
    <tableColumn id="8" xr3:uid="{617C23BC-A538-421D-B702-50895A8F8F3F}" name="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A4E3-7BAB-4195-9AF2-B741E3F2269D}">
  <dimension ref="A1:B15"/>
  <sheetViews>
    <sheetView workbookViewId="0">
      <selection activeCell="B2" sqref="B2"/>
    </sheetView>
  </sheetViews>
  <sheetFormatPr defaultRowHeight="14.4" x14ac:dyDescent="0.3"/>
  <cols>
    <col min="1" max="1" width="14.44140625" bestFit="1" customWidth="1"/>
    <col min="2" max="2" width="14.109375" bestFit="1" customWidth="1"/>
    <col min="3" max="3" width="11.33203125" bestFit="1" customWidth="1"/>
    <col min="4" max="4" width="14.109375" bestFit="1" customWidth="1"/>
  </cols>
  <sheetData>
    <row r="1" spans="1:2" x14ac:dyDescent="0.3">
      <c r="A1" s="6" t="s">
        <v>35</v>
      </c>
      <c r="B1" t="s">
        <v>37</v>
      </c>
    </row>
    <row r="2" spans="1:2" x14ac:dyDescent="0.3">
      <c r="A2" s="7" t="s">
        <v>17</v>
      </c>
      <c r="B2" s="24">
        <v>17000</v>
      </c>
    </row>
    <row r="3" spans="1:2" x14ac:dyDescent="0.3">
      <c r="A3" s="23" t="s">
        <v>20</v>
      </c>
      <c r="B3" s="24">
        <v>9000</v>
      </c>
    </row>
    <row r="4" spans="1:2" x14ac:dyDescent="0.3">
      <c r="A4" s="23" t="s">
        <v>16</v>
      </c>
      <c r="B4" s="24">
        <v>8000</v>
      </c>
    </row>
    <row r="5" spans="1:2" x14ac:dyDescent="0.3">
      <c r="A5" s="7" t="s">
        <v>10</v>
      </c>
      <c r="B5" s="24">
        <v>241000</v>
      </c>
    </row>
    <row r="6" spans="1:2" x14ac:dyDescent="0.3">
      <c r="A6" s="23" t="s">
        <v>9</v>
      </c>
      <c r="B6" s="24">
        <v>100000</v>
      </c>
    </row>
    <row r="7" spans="1:2" x14ac:dyDescent="0.3">
      <c r="A7" s="23" t="s">
        <v>13</v>
      </c>
      <c r="B7" s="24">
        <v>60000</v>
      </c>
    </row>
    <row r="8" spans="1:2" x14ac:dyDescent="0.3">
      <c r="A8" s="23" t="s">
        <v>23</v>
      </c>
      <c r="B8" s="24">
        <v>24000</v>
      </c>
    </row>
    <row r="9" spans="1:2" x14ac:dyDescent="0.3">
      <c r="A9" s="23" t="s">
        <v>34</v>
      </c>
      <c r="B9" s="24">
        <v>15000</v>
      </c>
    </row>
    <row r="10" spans="1:2" x14ac:dyDescent="0.3">
      <c r="A10" s="23" t="s">
        <v>32</v>
      </c>
      <c r="B10" s="24">
        <v>30000</v>
      </c>
    </row>
    <row r="11" spans="1:2" x14ac:dyDescent="0.3">
      <c r="A11" s="23" t="s">
        <v>25</v>
      </c>
      <c r="B11" s="24">
        <v>12000</v>
      </c>
    </row>
    <row r="12" spans="1:2" x14ac:dyDescent="0.3">
      <c r="A12" s="7" t="s">
        <v>28</v>
      </c>
      <c r="B12" s="24">
        <v>36000</v>
      </c>
    </row>
    <row r="13" spans="1:2" x14ac:dyDescent="0.3">
      <c r="A13" s="23" t="s">
        <v>27</v>
      </c>
      <c r="B13" s="24">
        <v>20000</v>
      </c>
    </row>
    <row r="14" spans="1:2" x14ac:dyDescent="0.3">
      <c r="A14" s="23" t="s">
        <v>30</v>
      </c>
      <c r="B14" s="24">
        <v>16000</v>
      </c>
    </row>
    <row r="15" spans="1:2" x14ac:dyDescent="0.3">
      <c r="A15" s="7" t="s">
        <v>36</v>
      </c>
      <c r="B15" s="24">
        <v>294000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091E3-1CCF-4EF1-AAF3-522094222300}">
  <dimension ref="A1"/>
  <sheetViews>
    <sheetView workbookViewId="0">
      <selection activeCell="H6" sqref="H6"/>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C91B-0613-4ED3-B666-9D5D185F423A}">
  <dimension ref="A3:C20"/>
  <sheetViews>
    <sheetView workbookViewId="0">
      <selection activeCell="A3" sqref="A3"/>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2D16-833D-4EFC-88BF-02AC624E07B7}">
  <dimension ref="A3:C20"/>
  <sheetViews>
    <sheetView workbookViewId="0">
      <selection activeCell="A2" sqref="A2"/>
    </sheetView>
  </sheetViews>
  <sheetFormatPr defaultRowHeight="14.4" x14ac:dyDescent="0.3"/>
  <cols>
    <col min="1" max="1" width="42.33203125" bestFit="1" customWidth="1"/>
  </cols>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8661-FAC8-4FEF-9F92-E4856D640D9C}">
  <dimension ref="A1:C18"/>
  <sheetViews>
    <sheetView workbookViewId="0"/>
  </sheetViews>
  <sheetFormatPr defaultRowHeight="14.4" x14ac:dyDescent="0.3"/>
  <sheetData>
    <row r="1" spans="1:3" x14ac:dyDescent="0.3">
      <c r="A1" s="14"/>
      <c r="B1" s="15"/>
      <c r="C1" s="16"/>
    </row>
    <row r="2" spans="1:3" x14ac:dyDescent="0.3">
      <c r="A2" s="17"/>
      <c r="B2" s="18"/>
      <c r="C2" s="19"/>
    </row>
    <row r="3" spans="1:3" x14ac:dyDescent="0.3">
      <c r="A3" s="17"/>
      <c r="B3" s="18"/>
      <c r="C3" s="19"/>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20"/>
      <c r="B18" s="21"/>
      <c r="C18" s="2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6189-5D51-4D28-82E6-9667A2098391}">
  <dimension ref="A1:H22"/>
  <sheetViews>
    <sheetView tabSelected="1" zoomScale="73" zoomScaleNormal="73" workbookViewId="0">
      <selection activeCell="BE25" sqref="BE25"/>
    </sheetView>
  </sheetViews>
  <sheetFormatPr defaultRowHeight="14.4" x14ac:dyDescent="0.3"/>
  <cols>
    <col min="1" max="1" width="12.44140625" bestFit="1" customWidth="1"/>
  </cols>
  <sheetData>
    <row r="1" spans="1:8" ht="25.8" x14ac:dyDescent="0.5">
      <c r="A1" s="13" t="s">
        <v>41</v>
      </c>
      <c r="B1" s="8"/>
      <c r="C1" s="8"/>
      <c r="D1" s="8"/>
      <c r="E1" s="9"/>
      <c r="F1" s="9"/>
      <c r="G1" s="9"/>
      <c r="H1" s="10"/>
    </row>
    <row r="2" spans="1:8" x14ac:dyDescent="0.3">
      <c r="A2" s="10"/>
      <c r="B2" s="10"/>
      <c r="C2" s="10"/>
      <c r="D2" s="10"/>
      <c r="E2" s="10"/>
      <c r="F2" s="10"/>
      <c r="G2" s="10"/>
      <c r="H2" s="10"/>
    </row>
    <row r="3" spans="1:8" x14ac:dyDescent="0.3">
      <c r="B3" t="s">
        <v>38</v>
      </c>
      <c r="E3" t="s">
        <v>39</v>
      </c>
      <c r="H3" t="s">
        <v>40</v>
      </c>
    </row>
    <row r="4" spans="1:8" ht="18" x14ac:dyDescent="0.35">
      <c r="A4">
        <f>SUM(Sheet1!H2:H11)</f>
        <v>294000</v>
      </c>
      <c r="C4" s="12"/>
      <c r="E4">
        <f>COUNTA(Sheet1!A2:A11)</f>
        <v>10</v>
      </c>
      <c r="F4" s="11"/>
      <c r="H4">
        <f>SUM(Sheet1!F2:F11)</f>
        <v>38</v>
      </c>
    </row>
    <row r="5" spans="1:8" x14ac:dyDescent="0.3">
      <c r="A5" s="14"/>
      <c r="B5" s="15"/>
      <c r="C5" s="16"/>
    </row>
    <row r="6" spans="1:8" x14ac:dyDescent="0.3">
      <c r="A6" s="17"/>
      <c r="B6" s="18"/>
      <c r="C6" s="19"/>
    </row>
    <row r="7" spans="1:8" x14ac:dyDescent="0.3">
      <c r="A7" s="17"/>
      <c r="B7" s="18"/>
      <c r="C7" s="19"/>
    </row>
    <row r="8" spans="1:8" x14ac:dyDescent="0.3">
      <c r="A8" s="17"/>
      <c r="B8" s="18"/>
      <c r="C8" s="19"/>
    </row>
    <row r="9" spans="1:8" x14ac:dyDescent="0.3">
      <c r="A9" s="17"/>
      <c r="B9" s="18"/>
      <c r="C9" s="19"/>
    </row>
    <row r="10" spans="1:8" x14ac:dyDescent="0.3">
      <c r="A10" s="17"/>
      <c r="B10" s="18"/>
      <c r="C10" s="19"/>
    </row>
    <row r="11" spans="1:8" x14ac:dyDescent="0.3">
      <c r="A11" s="17"/>
      <c r="B11" s="18"/>
      <c r="C11" s="19"/>
    </row>
    <row r="12" spans="1:8" x14ac:dyDescent="0.3">
      <c r="A12" s="17"/>
      <c r="B12" s="18"/>
      <c r="C12" s="19"/>
    </row>
    <row r="13" spans="1:8" x14ac:dyDescent="0.3">
      <c r="A13" s="17"/>
      <c r="B13" s="18"/>
      <c r="C13" s="19"/>
    </row>
    <row r="14" spans="1:8" x14ac:dyDescent="0.3">
      <c r="A14" s="17"/>
      <c r="B14" s="18"/>
      <c r="C14" s="19"/>
    </row>
    <row r="15" spans="1:8" x14ac:dyDescent="0.3">
      <c r="A15" s="17"/>
      <c r="B15" s="18"/>
      <c r="C15" s="19"/>
    </row>
    <row r="16" spans="1:8"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17"/>
      <c r="B20" s="18"/>
      <c r="C20" s="19"/>
    </row>
    <row r="21" spans="1:3" x14ac:dyDescent="0.3">
      <c r="A21" s="17"/>
      <c r="B21" s="18"/>
      <c r="C21" s="19"/>
    </row>
    <row r="22" spans="1:3" x14ac:dyDescent="0.3">
      <c r="A22" s="20"/>
      <c r="B22" s="21"/>
      <c r="C22" s="22"/>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C914-7C21-43BD-9B96-97A079E621F2}">
  <dimension ref="A1:B6"/>
  <sheetViews>
    <sheetView workbookViewId="0">
      <selection activeCell="C1" sqref="C1"/>
    </sheetView>
  </sheetViews>
  <sheetFormatPr defaultRowHeight="14.4" x14ac:dyDescent="0.3"/>
  <cols>
    <col min="1" max="1" width="12.44140625" bestFit="1" customWidth="1"/>
    <col min="2" max="2" width="14.109375" bestFit="1" customWidth="1"/>
  </cols>
  <sheetData>
    <row r="1" spans="1:2" x14ac:dyDescent="0.3">
      <c r="A1" s="6" t="s">
        <v>35</v>
      </c>
      <c r="B1" t="s">
        <v>37</v>
      </c>
    </row>
    <row r="2" spans="1:2" x14ac:dyDescent="0.3">
      <c r="A2" s="7" t="s">
        <v>18</v>
      </c>
      <c r="B2" s="24">
        <v>28000</v>
      </c>
    </row>
    <row r="3" spans="1:2" x14ac:dyDescent="0.3">
      <c r="A3" s="7" t="s">
        <v>14</v>
      </c>
      <c r="B3" s="24">
        <v>87000</v>
      </c>
    </row>
    <row r="4" spans="1:2" x14ac:dyDescent="0.3">
      <c r="A4" s="7" t="s">
        <v>11</v>
      </c>
      <c r="B4" s="24">
        <v>154000</v>
      </c>
    </row>
    <row r="5" spans="1:2" x14ac:dyDescent="0.3">
      <c r="A5" s="7" t="s">
        <v>21</v>
      </c>
      <c r="B5" s="24">
        <v>25000</v>
      </c>
    </row>
    <row r="6" spans="1:2" x14ac:dyDescent="0.3">
      <c r="A6" s="7" t="s">
        <v>36</v>
      </c>
      <c r="B6" s="24">
        <v>294000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BE9C-9177-424B-891E-C2D364E3DECB}">
  <dimension ref="A3:B5"/>
  <sheetViews>
    <sheetView zoomScale="96" workbookViewId="0">
      <selection activeCell="A4" sqref="A4"/>
    </sheetView>
  </sheetViews>
  <sheetFormatPr defaultRowHeight="14.4" x14ac:dyDescent="0.3"/>
  <cols>
    <col min="1" max="1" width="12.44140625" bestFit="1" customWidth="1"/>
    <col min="2" max="2" width="14.109375" bestFit="1" customWidth="1"/>
  </cols>
  <sheetData>
    <row r="3" spans="1:2" x14ac:dyDescent="0.3">
      <c r="A3" s="6" t="s">
        <v>35</v>
      </c>
      <c r="B3" t="s">
        <v>37</v>
      </c>
    </row>
    <row r="4" spans="1:2" x14ac:dyDescent="0.3">
      <c r="A4" s="7" t="s">
        <v>42</v>
      </c>
      <c r="B4" s="24">
        <v>294000</v>
      </c>
    </row>
    <row r="5" spans="1:2" x14ac:dyDescent="0.3">
      <c r="A5" s="7" t="s">
        <v>36</v>
      </c>
      <c r="B5" s="24">
        <v>294000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40EF-AFEA-4E1F-BA2A-8B24828B649F}">
  <dimension ref="A3:C20"/>
  <sheetViews>
    <sheetView workbookViewId="0">
      <selection activeCell="C1" sqref="C1"/>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346E-B314-484A-B54E-21B9F01C1FF6}">
  <dimension ref="A3:C20"/>
  <sheetViews>
    <sheetView workbookViewId="0">
      <selection activeCell="A3" sqref="A3"/>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B2C50-C089-415B-A9E7-E53D8479AECD}">
  <dimension ref="A3:C20"/>
  <sheetViews>
    <sheetView workbookViewId="0">
      <selection activeCell="A3" sqref="A3"/>
    </sheetView>
  </sheetViews>
  <sheetFormatPr defaultRowHeight="14.4"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BA31-8DCA-4411-9CAB-ED8CBD931383}">
  <dimension ref="A1:H11"/>
  <sheetViews>
    <sheetView workbookViewId="0">
      <selection activeCell="E2" sqref="E2"/>
    </sheetView>
  </sheetViews>
  <sheetFormatPr defaultRowHeight="14.4" x14ac:dyDescent="0.3"/>
  <cols>
    <col min="1" max="1" width="9.77734375" customWidth="1"/>
    <col min="3" max="3" width="9.44140625" customWidth="1"/>
    <col min="4" max="4" width="10.21875" customWidth="1"/>
    <col min="6" max="6" width="10" customWidth="1"/>
    <col min="8" max="8" width="9.88671875" customWidth="1"/>
  </cols>
  <sheetData>
    <row r="1" spans="1:8" x14ac:dyDescent="0.3">
      <c r="A1" s="1" t="s">
        <v>0</v>
      </c>
      <c r="B1" s="1" t="s">
        <v>1</v>
      </c>
      <c r="C1" s="1" t="s">
        <v>2</v>
      </c>
      <c r="D1" s="1" t="s">
        <v>3</v>
      </c>
      <c r="E1" s="1" t="s">
        <v>4</v>
      </c>
      <c r="F1" s="3" t="s">
        <v>5</v>
      </c>
      <c r="G1" s="3" t="s">
        <v>6</v>
      </c>
      <c r="H1" s="3" t="s">
        <v>7</v>
      </c>
    </row>
    <row r="2" spans="1:8" ht="28.8" x14ac:dyDescent="0.3">
      <c r="A2" s="4" t="s">
        <v>8</v>
      </c>
      <c r="B2" s="5">
        <v>46023</v>
      </c>
      <c r="C2" s="4" t="s">
        <v>9</v>
      </c>
      <c r="D2" s="4" t="s">
        <v>10</v>
      </c>
      <c r="E2" s="4" t="s">
        <v>11</v>
      </c>
      <c r="F2" s="2">
        <v>2</v>
      </c>
      <c r="G2" s="2">
        <v>50000</v>
      </c>
      <c r="H2" s="2">
        <v>100000</v>
      </c>
    </row>
    <row r="3" spans="1:8" ht="28.8" x14ac:dyDescent="0.3">
      <c r="A3" s="4" t="s">
        <v>12</v>
      </c>
      <c r="B3" s="5">
        <v>46025</v>
      </c>
      <c r="C3" s="4" t="s">
        <v>13</v>
      </c>
      <c r="D3" s="4" t="s">
        <v>10</v>
      </c>
      <c r="E3" s="4" t="s">
        <v>14</v>
      </c>
      <c r="F3" s="2">
        <v>3</v>
      </c>
      <c r="G3" s="2">
        <v>20000</v>
      </c>
      <c r="H3" s="2">
        <v>60000</v>
      </c>
    </row>
    <row r="4" spans="1:8" ht="28.8" x14ac:dyDescent="0.3">
      <c r="A4" s="4" t="s">
        <v>15</v>
      </c>
      <c r="B4" s="5">
        <v>46027</v>
      </c>
      <c r="C4" s="4" t="s">
        <v>16</v>
      </c>
      <c r="D4" s="4" t="s">
        <v>17</v>
      </c>
      <c r="E4" s="4" t="s">
        <v>18</v>
      </c>
      <c r="F4" s="2">
        <v>10</v>
      </c>
      <c r="G4" s="2">
        <v>800</v>
      </c>
      <c r="H4" s="2">
        <v>8000</v>
      </c>
    </row>
    <row r="5" spans="1:8" ht="28.8" x14ac:dyDescent="0.3">
      <c r="A5" s="4" t="s">
        <v>19</v>
      </c>
      <c r="B5" s="5">
        <v>46030</v>
      </c>
      <c r="C5" s="4" t="s">
        <v>20</v>
      </c>
      <c r="D5" s="4" t="s">
        <v>17</v>
      </c>
      <c r="E5" s="4" t="s">
        <v>21</v>
      </c>
      <c r="F5" s="2">
        <v>6</v>
      </c>
      <c r="G5" s="2">
        <v>1500</v>
      </c>
      <c r="H5" s="2">
        <v>9000</v>
      </c>
    </row>
    <row r="6" spans="1:8" ht="28.8" x14ac:dyDescent="0.3">
      <c r="A6" s="4" t="s">
        <v>22</v>
      </c>
      <c r="B6" s="5">
        <v>46032</v>
      </c>
      <c r="C6" s="4" t="s">
        <v>23</v>
      </c>
      <c r="D6" s="4" t="s">
        <v>10</v>
      </c>
      <c r="E6" s="4" t="s">
        <v>11</v>
      </c>
      <c r="F6" s="2">
        <v>2</v>
      </c>
      <c r="G6" s="2">
        <v>12000</v>
      </c>
      <c r="H6" s="2">
        <v>24000</v>
      </c>
    </row>
    <row r="7" spans="1:8" ht="28.8" x14ac:dyDescent="0.3">
      <c r="A7" s="4" t="s">
        <v>24</v>
      </c>
      <c r="B7" s="5">
        <v>46034</v>
      </c>
      <c r="C7" s="4" t="s">
        <v>25</v>
      </c>
      <c r="D7" s="4" t="s">
        <v>10</v>
      </c>
      <c r="E7" s="4" t="s">
        <v>14</v>
      </c>
      <c r="F7" s="2">
        <v>4</v>
      </c>
      <c r="G7" s="2">
        <v>3000</v>
      </c>
      <c r="H7" s="2">
        <v>12000</v>
      </c>
    </row>
    <row r="8" spans="1:8" x14ac:dyDescent="0.3">
      <c r="A8" s="4" t="s">
        <v>26</v>
      </c>
      <c r="B8" s="5">
        <v>46037</v>
      </c>
      <c r="C8" s="4" t="s">
        <v>27</v>
      </c>
      <c r="D8" s="4" t="s">
        <v>28</v>
      </c>
      <c r="E8" s="4" t="s">
        <v>18</v>
      </c>
      <c r="F8" s="2">
        <v>5</v>
      </c>
      <c r="G8" s="2">
        <v>4000</v>
      </c>
      <c r="H8" s="2">
        <v>20000</v>
      </c>
    </row>
    <row r="9" spans="1:8" x14ac:dyDescent="0.3">
      <c r="A9" s="4" t="s">
        <v>29</v>
      </c>
      <c r="B9" s="5">
        <v>46040</v>
      </c>
      <c r="C9" s="4" t="s">
        <v>30</v>
      </c>
      <c r="D9" s="4" t="s">
        <v>28</v>
      </c>
      <c r="E9" s="4" t="s">
        <v>21</v>
      </c>
      <c r="F9" s="2">
        <v>2</v>
      </c>
      <c r="G9" s="2">
        <v>8000</v>
      </c>
      <c r="H9" s="2">
        <v>16000</v>
      </c>
    </row>
    <row r="10" spans="1:8" ht="28.8" x14ac:dyDescent="0.3">
      <c r="A10" s="4" t="s">
        <v>31</v>
      </c>
      <c r="B10" s="5">
        <v>46042</v>
      </c>
      <c r="C10" s="4" t="s">
        <v>32</v>
      </c>
      <c r="D10" s="4" t="s">
        <v>10</v>
      </c>
      <c r="E10" s="4" t="s">
        <v>11</v>
      </c>
      <c r="F10" s="2">
        <v>3</v>
      </c>
      <c r="G10" s="2">
        <v>10000</v>
      </c>
      <c r="H10" s="2">
        <v>30000</v>
      </c>
    </row>
    <row r="11" spans="1:8" ht="28.8" x14ac:dyDescent="0.3">
      <c r="A11" s="4" t="s">
        <v>33</v>
      </c>
      <c r="B11" s="5">
        <v>46044</v>
      </c>
      <c r="C11" s="4" t="s">
        <v>34</v>
      </c>
      <c r="D11" s="4" t="s">
        <v>10</v>
      </c>
      <c r="E11" s="4" t="s">
        <v>14</v>
      </c>
      <c r="F11" s="2">
        <v>1</v>
      </c>
      <c r="G11" s="2">
        <v>15000</v>
      </c>
      <c r="H11" s="2">
        <v>15000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Sheet6</vt:lpstr>
      <vt:lpstr>Sheet7</vt:lpstr>
      <vt:lpstr>Sheet8</vt:lpstr>
      <vt:lpstr>Dashboard</vt:lpstr>
      <vt:lpstr>Sheet4</vt:lpstr>
      <vt:lpstr>Sheet9</vt:lpstr>
      <vt:lpstr>Sheet10</vt:lpstr>
      <vt:lpstr>Sheet11</vt:lpstr>
      <vt:lpstr>Sheet12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sanjanasu2007@gmail.com</dc:creator>
  <cp:lastModifiedBy>sanjanasu2007@gmail.com</cp:lastModifiedBy>
  <dcterms:created xsi:type="dcterms:W3CDTF">2026-10-04T13:35:30Z</dcterms:created>
  <dcterms:modified xsi:type="dcterms:W3CDTF">2026-10-08T19:14:49Z</dcterms:modified>
</cp:coreProperties>
</file>